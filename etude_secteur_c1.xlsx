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lle de Prix" sheetId="1" state="visible" r:id="rId3"/>
    <sheet name="Profil de Marché" sheetId="2" state="visible" r:id="rId4"/>
    <sheet name="Liens Utiles &amp; Lo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<sst xmlns="http://schemas.openxmlformats.org/spreadsheetml/2006/main" count="197" uniqueCount="189">
  <si>
    <t xml:space="preserve">GRILLE DE PRIX PAR TYPE DE BIEN &amp; ÉTAT — MON SECTEUR</t>
  </si>
  <si>
    <t xml:space="preserve">Challenge C1 — L'Incubateur · Étude de Secteur · Remplis les cases jaunes avec les prix au m² de ton secteur</t>
  </si>
  <si>
    <t xml:space="preserve">📋 MODE D'EMPLOI
1. Va sur Moteur Immo, DVF, Leboncoin et Meilleurs Agents pour ton secteur
2. Remplis les prix AU M² dans chaque case (ex: 2500 pour 2 500 €/m²)
3. Le prix moyen se calcule automatiquement
4. Remplis aussi les quartiers en bas pour affiner par zone</t>
  </si>
  <si>
    <t xml:space="preserve">TYPE DE BIEN</t>
  </si>
  <si>
    <t xml:space="preserve">🔨 PLATEAU BRUT
(structure seule)</t>
  </si>
  <si>
    <t xml:space="preserve">🏚️ À RÉNOVER
(travaux importants)</t>
  </si>
  <si>
    <t xml:space="preserve">🔧 ÉTAT MOYEN
(quelques travaux)</t>
  </si>
  <si>
    <t xml:space="preserve">🏠 BON ÉTAT
(prêt à louer)</t>
  </si>
  <si>
    <t xml:space="preserve">✨ COUP DE CŒUR
(premium / refait)</t>
  </si>
  <si>
    <t xml:space="preserve">📊 PRIX MOYEN
(calculé auto)</t>
  </si>
  <si>
    <t xml:space="preserve">📝 NOTES / SOURCE</t>
  </si>
  <si>
    <t xml:space="preserve">Studio / T1
(&lt; 30 m²)</t>
  </si>
  <si>
    <t xml:space="preserve">Leboncoin + DVF - vérifier liquidité</t>
  </si>
  <si>
    <t xml:space="preserve">T2
(30 - 50 m²)</t>
  </si>
  <si>
    <t xml:space="preserve">Le plus liquide en général</t>
  </si>
  <si>
    <t xml:space="preserve">T3
(50 - 70 m²)</t>
  </si>
  <si>
    <t xml:space="preserve">Bon équilibre prix/surface</t>
  </si>
  <si>
    <t xml:space="preserve">T4 / T5
(70 - 100 m²)</t>
  </si>
  <si>
    <t xml:space="preserve">Moins de demande locative</t>
  </si>
  <si>
    <t xml:space="preserve">Maison &lt; 100 m²</t>
  </si>
  <si>
    <t xml:space="preserve">Vérifier terrain et extérieur</t>
  </si>
  <si>
    <t xml:space="preserve">Maison 100-200 m²</t>
  </si>
  <si>
    <t xml:space="preserve">Potentiel division intéressant</t>
  </si>
  <si>
    <t xml:space="preserve">Maison &gt; 200 m²
(ville / sans jardin)</t>
  </si>
  <si>
    <t xml:space="preserve">Moins concurrence - potentiel fort</t>
  </si>
  <si>
    <t xml:space="preserve">Immeuble de rapport
(2-4 lots)</t>
  </si>
  <si>
    <t xml:space="preserve">Prix au m² habitable total</t>
  </si>
  <si>
    <t xml:space="preserve">Immeuble de rapport
(5+ lots)</t>
  </si>
  <si>
    <t xml:space="preserve">Vérifier état toiture et parties communes</t>
  </si>
  <si>
    <t xml:space="preserve">Local commercial
+ appartement</t>
  </si>
  <si>
    <t xml:space="preserve">Vérifier destination et PLU</t>
  </si>
  <si>
    <t xml:space="preserve">Garage / Cave / Box</t>
  </si>
  <si>
    <t xml:space="preserve">N/A</t>
  </si>
  <si>
    <t xml:space="preserve">Prix au m² très variable - zone tendue</t>
  </si>
  <si>
    <t xml:space="preserve">ANALYSE PAR QUARTIER / ZONE — Affine les prix selon les secteurs de ta ville</t>
  </si>
  <si>
    <t xml:space="preserve">QUARTIER / ZONE</t>
  </si>
  <si>
    <t xml:space="preserve">AMBIANCE</t>
  </si>
  <si>
    <t xml:space="preserve">PRIX BAS (€/m²)</t>
  </si>
  <si>
    <t xml:space="preserve">PRIX HAUT (€/m²)</t>
  </si>
  <si>
    <t xml:space="preserve">TENDANCE</t>
  </si>
  <si>
    <t xml:space="preserve">PROFIL ACHETEUR</t>
  </si>
  <si>
    <t xml:space="preserve">LIQUIDITÉ</t>
  </si>
  <si>
    <t xml:space="preserve">NOTES</t>
  </si>
  <si>
    <t xml:space="preserve">Centre-ville</t>
  </si>
  <si>
    <t xml:space="preserve">Animé / commercial</t>
  </si>
  <si>
    <t xml:space="preserve">📈 Hausse</t>
  </si>
  <si>
    <t xml:space="preserve">RP + investisseurs</t>
  </si>
  <si>
    <t xml:space="preserve">⭐⭐⭐⭐⭐</t>
  </si>
  <si>
    <t xml:space="preserve">Très liquide</t>
  </si>
  <si>
    <t xml:space="preserve">Proche gare / transport</t>
  </si>
  <si>
    <t xml:space="preserve">Mixte</t>
  </si>
  <si>
    <t xml:space="preserve">Investisseurs locatifs</t>
  </si>
  <si>
    <t xml:space="preserve">⭐⭐⭐⭐</t>
  </si>
  <si>
    <t xml:space="preserve">Bonne liquidité</t>
  </si>
  <si>
    <t xml:space="preserve">Quartier résidentiel calme</t>
  </si>
  <si>
    <t xml:space="preserve">Familial</t>
  </si>
  <si>
    <t xml:space="preserve">➡️ Stable</t>
  </si>
  <si>
    <t xml:space="preserve">RP familles</t>
  </si>
  <si>
    <t xml:space="preserve">⭐⭐⭐</t>
  </si>
  <si>
    <t xml:space="preserve">Moins liquide</t>
  </si>
  <si>
    <t xml:space="preserve">Périphérie / entrée de ville</t>
  </si>
  <si>
    <t xml:space="preserve">Variable</t>
  </si>
  <si>
    <t xml:space="preserve">Primo-accédants</t>
  </si>
  <si>
    <t xml:space="preserve">⭐⭐</t>
  </si>
  <si>
    <t xml:space="preserve">Lente</t>
  </si>
  <si>
    <t xml:space="preserve">Zone en développement</t>
  </si>
  <si>
    <t xml:space="preserve">En mutation</t>
  </si>
  <si>
    <t xml:space="preserve">📈 Fort potentiel</t>
  </si>
  <si>
    <t xml:space="preserve">Investisseurs avisés</t>
  </si>
  <si>
    <t xml:space="preserve">À surveiller</t>
  </si>
  <si>
    <t xml:space="preserve">Mon quartier 1</t>
  </si>
  <si>
    <t xml:space="preserve">Mon quartier 2</t>
  </si>
  <si>
    <t xml:space="preserve">Mon quartier 3</t>
  </si>
  <si>
    <t xml:space="preserve">PROFIL DE MARCHÉ — QUI ACHÈTE QUOI SUR MON SECTEUR ?</t>
  </si>
  <si>
    <t xml:space="preserve">Remplis le % estimé de chaque profil d'acheteur sur ton secteur — total doit faire 100%</t>
  </si>
  <si>
    <t xml:space="preserve">% ESTIMÉ
MON SECTEUR</t>
  </si>
  <si>
    <t xml:space="preserve">CE QUE ÇA VEUT DIRE POUR TOI</t>
  </si>
  <si>
    <t xml:space="preserve">TYPES DE BIENS VISÉS</t>
  </si>
  <si>
    <t xml:space="preserve">OPPORTUNITÉ MDB</t>
  </si>
  <si>
    <t xml:space="preserve">🏠 Résidence Principale (RP)</t>
  </si>
  <si>
    <t xml:space="preserve">Acheteurs classiques qui cherchent à habiter. Sensibles au coup de cœur, à l'emplacement, aux écoles.</t>
  </si>
  <si>
    <t xml:space="preserve">T3, T4, maisons</t>
  </si>
  <si>
    <t xml:space="preserve">Rénovation valorisante — vendre clé en main</t>
  </si>
  <si>
    <t xml:space="preserve">👶 Primo-accédants</t>
  </si>
  <si>
    <t xml:space="preserve">Budget serré, cherchent le moins cher possible. Prêt à taux zéro, sensibles aux charges de copro.</t>
  </si>
  <si>
    <t xml:space="preserve">Studios, T2, T3 entrée de gamme</t>
  </si>
  <si>
    <t xml:space="preserve">Achat-revente rapide sur petites surfaces</t>
  </si>
  <si>
    <t xml:space="preserve">💼 Investisseurs locatifs</t>
  </si>
  <si>
    <t xml:space="preserve">Cherchent la rentabilité brute (&gt;6%). Peu sensibles à l'esthétique, focalisés sur le cash-flow.</t>
  </si>
  <si>
    <t xml:space="preserve">Studios, T2, petits immeubles</t>
  </si>
  <si>
    <t xml:space="preserve">Division, multi-lots, rendement optimisé</t>
  </si>
  <si>
    <t xml:space="preserve">🏖️ Résidence secondaire / Airbnb</t>
  </si>
  <si>
    <t xml:space="preserve">Présents dans les zones touristiques, balnéaires ou grandes villes. Budget élevé, exigences fortes.</t>
  </si>
  <si>
    <t xml:space="preserve">Appartements avec charme, maisons</t>
  </si>
  <si>
    <t xml:space="preserve">Rénovation premium, valorisation forte</t>
  </si>
  <si>
    <t xml:space="preserve">🏢 Investisseurs patrimoniaux</t>
  </si>
  <si>
    <t xml:space="preserve">Cherchent la sécurité et la valorisation long terme. Moins sensibles au rendement immédiat.</t>
  </si>
  <si>
    <t xml:space="preserve">Immeubles, biens de qualité</t>
  </si>
  <si>
    <t xml:space="preserve">Gros lots, immeubles de rapport</t>
  </si>
  <si>
    <t xml:space="preserve">🔨 Autres marchands de biens</t>
  </si>
  <si>
    <t xml:space="preserve">Concurrents directs. Leur présence indique un marché avec du potentiel opérationnel.</t>
  </si>
  <si>
    <t xml:space="preserve">Tout type de bien</t>
  </si>
  <si>
    <t xml:space="preserve">Surveiller leurs achats = détecter les zones actives</t>
  </si>
  <si>
    <t xml:space="preserve">❓ Autre profil (à définir)</t>
  </si>
  <si>
    <t xml:space="preserve">Spécifique à ton secteur — ex: étudiants, saisonniers, professions spéciales…</t>
  </si>
  <si>
    <t xml:space="preserve">TOTAL</t>
  </si>
  <si>
    <t xml:space="preserve">CARACTÈRE DE TON MARCHÉ — Coche ce qui correspond</t>
  </si>
  <si>
    <t xml:space="preserve">☐  📈 Marché dynamique (prix en hausse)</t>
  </si>
  <si>
    <t xml:space="preserve">Les biens partent vite, peu de négociation possible. Agir vite sur les bonnes affaires.</t>
  </si>
  <si>
    <t xml:space="preserve">☐  ➡️ Marché stable</t>
  </si>
  <si>
    <t xml:space="preserve">Prix stables, négociation possible. Bon secteur pour prendre le temps d'analyser.</t>
  </si>
  <si>
    <t xml:space="preserve">☐  📉 Marché atone (prix en baisse ou stagnation)</t>
  </si>
  <si>
    <t xml:space="preserve">Biens qui traînent, décotes importantes. Opportunités mais liquidité faible à la revente.</t>
  </si>
  <si>
    <t xml:space="preserve">☐  🏙️ Marché de centre-ville dense</t>
  </si>
  <si>
    <t xml:space="preserve">Peu d'offre, prix élevés, forte demande. Divisions et multi-lots pertinents.</t>
  </si>
  <si>
    <t xml:space="preserve">☐  🌳 Marché périurbain / rural</t>
  </si>
  <si>
    <t xml:space="preserve">Prix bas, surface importante, moins de demande locative. Achat-revente RP / maison.</t>
  </si>
  <si>
    <t xml:space="preserve">☐  🎓 Marché étudiant</t>
  </si>
  <si>
    <t xml:space="preserve">Forte demande de petites surfaces. Studios et T1 très liquides. Rendements élevés.</t>
  </si>
  <si>
    <t xml:space="preserve">☐  🏖️ Marché touristique / saisonnier</t>
  </si>
  <si>
    <t xml:space="preserve">Airbnb rentable mais réglementation à surveiller. Saisonnalité forte.</t>
  </si>
  <si>
    <t xml:space="preserve">LIENS UTILES &amp; TEXTES DE LOI — ÉTUDE DE SECTEUR C1</t>
  </si>
  <si>
    <t xml:space="preserve">Tous les outils, sites et textes de loi utiles pour ton étude de secteur</t>
  </si>
  <si>
    <t xml:space="preserve">#</t>
  </si>
  <si>
    <t xml:space="preserve">OUTIL / SITE</t>
  </si>
  <si>
    <t xml:space="preserve">LIEN &amp; UTILITÉ</t>
  </si>
  <si>
    <t xml:space="preserve">QUAND L'UTILISER</t>
  </si>
  <si>
    <t xml:space="preserve">  PRIX AU M² &amp; ANNONCES</t>
  </si>
  <si>
    <t xml:space="preserve">01</t>
  </si>
  <si>
    <t xml:space="preserve">Meilleurs Agents</t>
  </si>
  <si>
    <t xml:space="preserve">https://www.meilleursagents.com
Prix moyen au m² par commune, évolution sur 1 an, tension immobilière</t>
  </si>
  <si>
    <t xml:space="preserve">Étape 1 — Point de départ prix marché</t>
  </si>
  <si>
    <t xml:space="preserve">02</t>
  </si>
  <si>
    <t xml:space="preserve">Moteur Immo</t>
  </si>
  <si>
    <t xml:space="preserve">https://moteurimmo.fr
Agrégateur annonces, alertes prix, baisses de prix, historique, recherche inversée</t>
  </si>
  <si>
    <t xml:space="preserve">Étapes 2 &amp; 5 — Annonces + mots-clés</t>
  </si>
  <si>
    <t xml:space="preserve">03</t>
  </si>
  <si>
    <t xml:space="preserve">Leboncoin Immo</t>
  </si>
  <si>
    <t xml:space="preserve">https://www.leboncoin.fr/annonces/offres/ventes_immobilieres
Recherche par mots-clés, trier par ancienneté</t>
  </si>
  <si>
    <t xml:space="preserve">Étape 2 — Annonces actives</t>
  </si>
  <si>
    <t xml:space="preserve">04</t>
  </si>
  <si>
    <t xml:space="preserve">DVF — Valeurs Foncières</t>
  </si>
  <si>
    <t xml:space="preserve">https://dvf.etalab.gouv.fr
Prix de vente RÉELS de toutes les transactions France</t>
  </si>
  <si>
    <t xml:space="preserve">Étape 2 — Prix réels vs affichés</t>
  </si>
  <si>
    <t xml:space="preserve">05</t>
  </si>
  <si>
    <t xml:space="preserve">ImmoSector AI</t>
  </si>
  <si>
    <t xml:space="preserve">https://immosector-ai.vercel.app
Comparatif DVF vs LBC + analyse IA de ton secteur</t>
  </si>
  <si>
    <t xml:space="preserve">Étape 2 — Analyse comparative</t>
  </si>
  <si>
    <t xml:space="preserve">06</t>
  </si>
  <si>
    <t xml:space="preserve">Papier Immo</t>
  </si>
  <si>
    <t xml:space="preserve">https://immobilier.pappers.fr
Occupants, historique DVF, DPE, propriétaires sociétés</t>
  </si>
  <si>
    <t xml:space="preserve">Étape 5 — Investigation bien</t>
  </si>
  <si>
    <t xml:space="preserve">  DONNÉES INSEE &amp; COMMUNES</t>
  </si>
  <si>
    <t xml:space="preserve">07</t>
  </si>
  <si>
    <t xml:space="preserve">INSEE — Données territoriales</t>
  </si>
  <si>
    <t xml:space="preserve">https://www.insee.fr/fr/statistiques
Population, revenus, démographie, évolution par commune</t>
  </si>
  <si>
    <t xml:space="preserve">Étape 3 — Profil sociodémographique</t>
  </si>
  <si>
    <t xml:space="preserve">08</t>
  </si>
  <si>
    <t xml:space="preserve">data.gouv.fr</t>
  </si>
  <si>
    <t xml:space="preserve">https://www.data.gouv.fr
Jeux de données publics : logement, population, équipements</t>
  </si>
  <si>
    <t xml:space="preserve">Étape 3 — Données ouvertes</t>
  </si>
  <si>
    <t xml:space="preserve">09</t>
  </si>
  <si>
    <t xml:space="preserve">Site de la commune</t>
  </si>
  <si>
    <t xml:space="preserve">Cherche '[nom commune] + plan local urbanisme'
Projets urbains, PLU, permis de construire, ZAC</t>
  </si>
  <si>
    <t xml:space="preserve">Étape 4 — Projets futurs</t>
  </si>
  <si>
    <t xml:space="preserve">10</t>
  </si>
  <si>
    <t xml:space="preserve">Géoportail</t>
  </si>
  <si>
    <t xml:space="preserve">https://www.geoportail.gouv.fr
Écoles, hôpitaux, transports, foncier public, géomètres</t>
  </si>
  <si>
    <t xml:space="preserve">Étape 6 — Infrastructures</t>
  </si>
  <si>
    <t xml:space="preserve">  CONCURRENCE &amp; PROJETS</t>
  </si>
  <si>
    <t xml:space="preserve">11</t>
  </si>
  <si>
    <t xml:space="preserve">Instagram / LinkedIn</t>
  </si>
  <si>
    <t xml:space="preserve">Recherche '[ville] + marchand de biens'
Voir qui opère sur ton secteur, quels types de biens</t>
  </si>
  <si>
    <t xml:space="preserve">Étape 5 — Analyse concurrence</t>
  </si>
  <si>
    <t xml:space="preserve">12</t>
  </si>
  <si>
    <t xml:space="preserve">Le Moniteur / Actu-Immo</t>
  </si>
  <si>
    <t xml:space="preserve">https://www.lemoniteur.fr
Projets de construction, ZAC, permis, grands travaux</t>
  </si>
  <si>
    <t xml:space="preserve">13</t>
  </si>
  <si>
    <t xml:space="preserve">PLU — Plan Local d'Urbanisme</t>
  </si>
  <si>
    <t xml:space="preserve">Via site commune ou Géoportail (couche urbanisme)
Zones constructibles, règles de division, hauteurs</t>
  </si>
  <si>
    <t xml:space="preserve">Étape 6 — Réglementation</t>
  </si>
  <si>
    <t xml:space="preserve">  TEXTES DE LOI ESSENTIELS</t>
  </si>
  <si>
    <t xml:space="preserve">⚖️</t>
  </si>
  <si>
    <t xml:space="preserve">Article L151-36
Logements classiques</t>
  </si>
  <si>
    <t xml:space="preserve">https://www.legifrance.gouv.fr/codes/article_lc/LEGIARTI000031211239
Plafond 1 place stationnement / logement créé en zone bien desservie</t>
  </si>
  <si>
    <t xml:space="preserve">À vérifier avant toute division</t>
  </si>
  <si>
    <t xml:space="preserve">Article L152-6
Dérogation zone tendue</t>
  </si>
  <si>
    <t xml:space="preserve">https://www.legifrance.gouv.fr/codes/article_lc/LEGIARTI000043978020/2021-08-25
Dérogation stationnement dans 500m d'une gare/métro — droit privé, pas de permis</t>
  </si>
  <si>
    <t xml:space="preserve">Essentiel en zone bien desservie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</si>
</sst>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/m²&quot;"/>
    <numFmt numFmtId="166" formatCode="0\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0E0E0E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0E0E0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5C4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E0E0E"/>
      <name val="Arial"/>
      <family val="0"/>
      <charset val="1"/>
    </font>
    <font>
      <b val="true"/>
      <sz val="14"/>
      <color rgb="FF0E0E0E"/>
      <name val="Arial"/>
      <family val="0"/>
      <charset val="1"/>
    </font>
    <font>
      <b val="true"/>
      <sz val="11"/>
      <color rgb="FF0E0E0E"/>
      <name val="Arial"/>
      <family val="0"/>
      <charset val="1"/>
    </font>
    <font>
      <b val="true"/>
      <sz val="10"/>
      <color rgb="FF378ADD"/>
      <name val="Arial"/>
      <family val="0"/>
      <charset val="1"/>
    </font>
    <font>
      <b val="true"/>
      <sz val="10"/>
      <color rgb="FFF5C40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b val="true"/>
      <sz val="10"/>
      <color rgb="FFE07B20"/>
      <name val="Arial"/>
      <family val="0"/>
      <charset val="1"/>
    </font>
    <font>
      <b val="true"/>
      <sz val="10"/>
      <color rgb="FF7F77DD"/>
      <name val="Arial"/>
      <family val="0"/>
      <charset val="1"/>
    </font>
    <font>
      <b val="true"/>
      <sz val="10"/>
      <color rgb="FF888888"/>
      <name val="Arial"/>
      <family val="0"/>
      <charset val="1"/>
    </font>
    <font>
      <b val="true"/>
      <sz val="10"/>
      <color rgb="FFE24B4A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F5C400"/>
        <bgColor rgb="FFFF9900"/>
      </patternFill>
    </fill>
    <fill>
      <patternFill patternType="solid">
        <fgColor rgb="FF1A1A1A"/>
        <bgColor rgb="FF222222"/>
      </patternFill>
    </fill>
    <fill>
      <patternFill patternType="solid">
        <fgColor rgb="FFFFFBE6"/>
        <bgColor rgb="FFFEF0E0"/>
      </patternFill>
    </fill>
    <fill>
      <patternFill patternType="solid">
        <fgColor rgb="FF333333"/>
        <bgColor rgb="FF222222"/>
      </patternFill>
    </fill>
    <fill>
      <patternFill patternType="solid">
        <fgColor rgb="FF444444"/>
        <bgColor rgb="FF555555"/>
      </patternFill>
    </fill>
    <fill>
      <patternFill patternType="solid">
        <fgColor rgb="FF555555"/>
        <bgColor rgb="FF444444"/>
      </patternFill>
    </fill>
    <fill>
      <patternFill patternType="solid">
        <fgColor rgb="FF378ADD"/>
        <bgColor rgb="FF1D9E75"/>
      </patternFill>
    </fill>
    <fill>
      <patternFill patternType="solid">
        <fgColor rgb="FFFFFFFF"/>
        <bgColor rgb="FFFFFBE6"/>
      </patternFill>
    </fill>
    <fill>
      <patternFill patternType="solid">
        <fgColor rgb="FFE1F5EE"/>
        <bgColor rgb="FFE6F1FB"/>
      </patternFill>
    </fill>
    <fill>
      <patternFill patternType="solid">
        <fgColor rgb="FFE6F1FB"/>
        <bgColor rgb="FFEEEDFE"/>
      </patternFill>
    </fill>
    <fill>
      <patternFill patternType="solid">
        <fgColor rgb="FFEEEDFE"/>
        <bgColor rgb="FFE6F1FB"/>
      </patternFill>
    </fill>
    <fill>
      <patternFill patternType="solid">
        <fgColor rgb="FFF5F5F5"/>
        <bgColor rgb="FFEEEDFE"/>
      </patternFill>
    </fill>
    <fill>
      <patternFill patternType="solid">
        <fgColor rgb="FFFEF0E0"/>
        <bgColor rgb="FFFCEBEB"/>
      </patternFill>
    </fill>
    <fill>
      <patternFill patternType="solid">
        <fgColor rgb="FFFCEBEB"/>
        <bgColor rgb="FFFEF0E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F5C400"/>
      </left>
      <right/>
      <top style="thin">
        <color rgb="FFF5C400"/>
      </top>
      <bottom style="thin">
        <color rgb="FFF5C400"/>
      </bottom>
      <diagonal/>
    </border>
    <border diagonalUp="false" diagonalDown="false"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A5FA0"/>
      </left>
      <right style="thin">
        <color rgb="FF1A5FA0"/>
      </right>
      <top style="thin">
        <color rgb="FF1A5FA0"/>
      </top>
      <bottom style="thin">
        <color rgb="FF1A5FA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222222"/>
      </left>
      <right/>
      <top style="thin">
        <color rgb="FF222222"/>
      </top>
      <bottom style="thin">
        <color rgb="FF222222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9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0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13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E0E0E"/>
      <rgbColor rgb="FF808000"/>
      <rgbColor rgb="FF800080"/>
      <rgbColor rgb="FF008080"/>
      <rgbColor rgb="FFCCCCCC"/>
      <rgbColor rgb="FF888888"/>
      <rgbColor rgb="FF7F77DD"/>
      <rgbColor rgb="FFE24B4A"/>
      <rgbColor rgb="FFFFFBE6"/>
      <rgbColor rgb="FFE1F5EE"/>
      <rgbColor rgb="FF660066"/>
      <rgbColor rgb="FFFF8080"/>
      <rgbColor rgb="FF1A5FA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1FB"/>
      <rgbColor rgb="FFF5F5F5"/>
      <rgbColor rgb="FFFEF0E0"/>
      <rgbColor rgb="FFEEEDFE"/>
      <rgbColor rgb="FFFF99CC"/>
      <rgbColor rgb="FFCC99FF"/>
      <rgbColor rgb="FFFCEBEB"/>
      <rgbColor rgb="FF378ADD"/>
      <rgbColor rgb="FF33CCCC"/>
      <rgbColor rgb="FF99CC00"/>
      <rgbColor rgb="FFF5C400"/>
      <rgbColor rgb="FFFF9900"/>
      <rgbColor rgb="FFE07B20"/>
      <rgbColor rgb="FF555555"/>
      <rgbColor rgb="FF969696"/>
      <rgbColor rgb="FF003366"/>
      <rgbColor rgb="FF1D9E75"/>
      <rgbColor rgb="FF1A1A1A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456840</xdr:colOff>
      <xdr:row>2</xdr:row>
      <xdr:rowOff>66240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52280"/>
          <a:ext cx="45684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456840</xdr:colOff>
      <xdr:row>2</xdr:row>
      <xdr:rowOff>66600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190440"/>
          <a:ext cx="456840" cy="571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C400"/>
    <pageSetUpPr fitToPage="false"/>
  </sheetPr>
  <dimension ref="A1:H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6" min="2" style="1" width="18"/>
    <col collapsed="false" customWidth="true" hidden="false" outlineLevel="0" max="7" min="7" style="1" width="20"/>
    <col collapsed="false" customWidth="true" hidden="false" outlineLevel="0" max="8" min="8" style="1" width="24"/>
  </cols>
  <sheetData>
    <row r="1" customFormat="false" ht="12" hidden="false" customHeight="true" outlineLevel="0" collapsed="false"/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9.75" hidden="false" customHeight="true" outlineLevel="0" collapsed="false"/>
    <row r="5" customFormat="false" ht="49.5" hidden="false" customHeight="true" outlineLevel="0" collapsed="false">
      <c r="A5" s="4" t="s">
        <v>2</v>
      </c>
      <c r="B5" s="4"/>
      <c r="C5" s="4"/>
      <c r="D5" s="4"/>
      <c r="E5" s="4"/>
      <c r="F5" s="4"/>
      <c r="G5" s="4"/>
      <c r="H5" s="4"/>
    </row>
    <row r="6" customFormat="false" ht="9.75" hidden="false" customHeight="true" outlineLevel="0" collapsed="false"/>
    <row r="7" customFormat="false" ht="36" hidden="false" customHeight="true" outlineLevel="0" collapsed="false">
      <c r="A7" s="5" t="s">
        <v>3</v>
      </c>
      <c r="B7" s="6" t="s">
        <v>4</v>
      </c>
      <c r="C7" s="7" t="s">
        <v>5</v>
      </c>
      <c r="D7" s="8" t="s">
        <v>6</v>
      </c>
      <c r="E7" s="6" t="s">
        <v>7</v>
      </c>
      <c r="F7" s="5" t="s">
        <v>8</v>
      </c>
      <c r="G7" s="9" t="s">
        <v>9</v>
      </c>
      <c r="H7" s="6" t="s">
        <v>10</v>
      </c>
    </row>
    <row r="8" customFormat="false" ht="37.5" hidden="false" customHeight="true" outlineLevel="0" collapsed="false">
      <c r="A8" s="10" t="s">
        <v>11</v>
      </c>
      <c r="B8" s="11" t="n">
        <v>1800</v>
      </c>
      <c r="C8" s="11" t="n">
        <v>2200</v>
      </c>
      <c r="D8" s="11" t="n">
        <v>2600</v>
      </c>
      <c r="E8" s="11" t="n">
        <v>3000</v>
      </c>
      <c r="F8" s="11" t="n">
        <v>3500</v>
      </c>
      <c r="G8" s="12" t="n">
        <f aca="false">IFERROR(AVERAGEIF(B8:F8,"&lt;&gt;N/A",B8:F8),"-")</f>
        <v>2620</v>
      </c>
      <c r="H8" s="13" t="s">
        <v>12</v>
      </c>
    </row>
    <row r="9" customFormat="false" ht="37.5" hidden="false" customHeight="true" outlineLevel="0" collapsed="false">
      <c r="A9" s="10" t="s">
        <v>13</v>
      </c>
      <c r="B9" s="11" t="n">
        <v>1700</v>
      </c>
      <c r="C9" s="11" t="n">
        <v>2100</v>
      </c>
      <c r="D9" s="11" t="n">
        <v>2500</v>
      </c>
      <c r="E9" s="11" t="n">
        <v>2900</v>
      </c>
      <c r="F9" s="11" t="n">
        <v>3300</v>
      </c>
      <c r="G9" s="12" t="n">
        <f aca="false">IFERROR(AVERAGEIF(B9:F9,"&lt;&gt;N/A",B9:F9),"-")</f>
        <v>2500</v>
      </c>
      <c r="H9" s="13" t="s">
        <v>14</v>
      </c>
    </row>
    <row r="10" customFormat="false" ht="37.5" hidden="false" customHeight="true" outlineLevel="0" collapsed="false">
      <c r="A10" s="10" t="s">
        <v>15</v>
      </c>
      <c r="B10" s="11" t="n">
        <v>1600</v>
      </c>
      <c r="C10" s="11" t="n">
        <v>2000</v>
      </c>
      <c r="D10" s="11" t="n">
        <v>2400</v>
      </c>
      <c r="E10" s="11" t="n">
        <v>2800</v>
      </c>
      <c r="F10" s="11" t="n">
        <v>3200</v>
      </c>
      <c r="G10" s="12" t="n">
        <f aca="false">IFERROR(AVERAGEIF(B10:F10,"&lt;&gt;N/A",B10:F10),"-")</f>
        <v>2400</v>
      </c>
      <c r="H10" s="13" t="s">
        <v>16</v>
      </c>
    </row>
    <row r="11" customFormat="false" ht="37.5" hidden="false" customHeight="true" outlineLevel="0" collapsed="false">
      <c r="A11" s="10" t="s">
        <v>17</v>
      </c>
      <c r="B11" s="11" t="n">
        <v>1500</v>
      </c>
      <c r="C11" s="11" t="n">
        <v>1900</v>
      </c>
      <c r="D11" s="11" t="n">
        <v>2300</v>
      </c>
      <c r="E11" s="11" t="n">
        <v>2700</v>
      </c>
      <c r="F11" s="11" t="n">
        <v>3100</v>
      </c>
      <c r="G11" s="12" t="n">
        <f aca="false">IFERROR(AVERAGEIF(B11:F11,"&lt;&gt;N/A",B11:F11),"-")</f>
        <v>2300</v>
      </c>
      <c r="H11" s="13" t="s">
        <v>18</v>
      </c>
    </row>
    <row r="12" customFormat="false" ht="37.5" hidden="false" customHeight="true" outlineLevel="0" collapsed="false">
      <c r="A12" s="14" t="s">
        <v>19</v>
      </c>
      <c r="B12" s="11" t="n">
        <v>1400</v>
      </c>
      <c r="C12" s="11" t="n">
        <v>1800</v>
      </c>
      <c r="D12" s="11" t="n">
        <v>2200</v>
      </c>
      <c r="E12" s="11" t="n">
        <v>2600</v>
      </c>
      <c r="F12" s="11" t="n">
        <v>3000</v>
      </c>
      <c r="G12" s="12" t="n">
        <f aca="false">IFERROR(AVERAGEIF(B12:F12,"&lt;&gt;N/A",B12:F12),"-")</f>
        <v>2200</v>
      </c>
      <c r="H12" s="13" t="s">
        <v>20</v>
      </c>
    </row>
    <row r="13" customFormat="false" ht="37.5" hidden="false" customHeight="true" outlineLevel="0" collapsed="false">
      <c r="A13" s="14" t="s">
        <v>21</v>
      </c>
      <c r="B13" s="11" t="n">
        <v>1300</v>
      </c>
      <c r="C13" s="11" t="n">
        <v>1700</v>
      </c>
      <c r="D13" s="11" t="n">
        <v>2100</v>
      </c>
      <c r="E13" s="11" t="n">
        <v>2500</v>
      </c>
      <c r="F13" s="11" t="n">
        <v>2900</v>
      </c>
      <c r="G13" s="12" t="n">
        <f aca="false">IFERROR(AVERAGEIF(B13:F13,"&lt;&gt;N/A",B13:F13),"-")</f>
        <v>2100</v>
      </c>
      <c r="H13" s="13" t="s">
        <v>22</v>
      </c>
    </row>
    <row r="14" customFormat="false" ht="37.5" hidden="false" customHeight="true" outlineLevel="0" collapsed="false">
      <c r="A14" s="14" t="s">
        <v>23</v>
      </c>
      <c r="B14" s="11" t="n">
        <v>1100</v>
      </c>
      <c r="C14" s="11" t="n">
        <v>1500</v>
      </c>
      <c r="D14" s="11" t="n">
        <v>1900</v>
      </c>
      <c r="E14" s="11" t="n">
        <v>2300</v>
      </c>
      <c r="F14" s="11" t="n">
        <v>2700</v>
      </c>
      <c r="G14" s="12" t="n">
        <f aca="false">IFERROR(AVERAGEIF(B14:F14,"&lt;&gt;N/A",B14:F14),"-")</f>
        <v>1900</v>
      </c>
      <c r="H14" s="13" t="s">
        <v>24</v>
      </c>
    </row>
    <row r="15" customFormat="false" ht="37.5" hidden="false" customHeight="true" outlineLevel="0" collapsed="false">
      <c r="A15" s="15" t="s">
        <v>25</v>
      </c>
      <c r="B15" s="11" t="n">
        <v>900</v>
      </c>
      <c r="C15" s="11" t="n">
        <v>1300</v>
      </c>
      <c r="D15" s="11" t="n">
        <v>1700</v>
      </c>
      <c r="E15" s="11" t="n">
        <v>2100</v>
      </c>
      <c r="F15" s="11" t="n">
        <v>2500</v>
      </c>
      <c r="G15" s="12" t="n">
        <f aca="false">IFERROR(AVERAGEIF(B15:F15,"&lt;&gt;N/A",B15:F15),"-")</f>
        <v>1700</v>
      </c>
      <c r="H15" s="13" t="s">
        <v>26</v>
      </c>
    </row>
    <row r="16" customFormat="false" ht="37.5" hidden="false" customHeight="true" outlineLevel="0" collapsed="false">
      <c r="A16" s="15" t="s">
        <v>27</v>
      </c>
      <c r="B16" s="11" t="n">
        <v>800</v>
      </c>
      <c r="C16" s="11" t="n">
        <v>1200</v>
      </c>
      <c r="D16" s="11" t="n">
        <v>1600</v>
      </c>
      <c r="E16" s="11" t="n">
        <v>2000</v>
      </c>
      <c r="F16" s="11" t="n">
        <v>2400</v>
      </c>
      <c r="G16" s="12" t="n">
        <f aca="false">IFERROR(AVERAGEIF(B16:F16,"&lt;&gt;N/A",B16:F16),"-")</f>
        <v>1600</v>
      </c>
      <c r="H16" s="13" t="s">
        <v>28</v>
      </c>
    </row>
    <row r="17" customFormat="false" ht="37.5" hidden="false" customHeight="true" outlineLevel="0" collapsed="false">
      <c r="A17" s="16" t="s">
        <v>29</v>
      </c>
      <c r="B17" s="11" t="n">
        <v>700</v>
      </c>
      <c r="C17" s="11" t="n">
        <v>1100</v>
      </c>
      <c r="D17" s="11" t="n">
        <v>1500</v>
      </c>
      <c r="E17" s="11" t="n">
        <v>1900</v>
      </c>
      <c r="F17" s="11" t="n">
        <v>2300</v>
      </c>
      <c r="G17" s="12" t="n">
        <f aca="false">IFERROR(AVERAGEIF(B17:F17,"&lt;&gt;N/A",B17:F17),"-")</f>
        <v>1500</v>
      </c>
      <c r="H17" s="13" t="s">
        <v>30</v>
      </c>
    </row>
    <row r="18" customFormat="false" ht="37.5" hidden="false" customHeight="true" outlineLevel="0" collapsed="false">
      <c r="A18" s="17" t="s">
        <v>31</v>
      </c>
      <c r="B18" s="18" t="s">
        <v>32</v>
      </c>
      <c r="C18" s="18" t="s">
        <v>32</v>
      </c>
      <c r="D18" s="18" t="s">
        <v>32</v>
      </c>
      <c r="E18" s="11" t="n">
        <v>3000</v>
      </c>
      <c r="F18" s="11" t="n">
        <v>5000</v>
      </c>
      <c r="G18" s="12" t="n">
        <f aca="false">IFERROR(AVERAGEIF(B18:F18,"&lt;&gt;N/A",B18:F18),"-")</f>
        <v>4000</v>
      </c>
      <c r="H18" s="13" t="s">
        <v>33</v>
      </c>
    </row>
    <row r="20" customFormat="false" ht="9.75" hidden="false" customHeight="true" outlineLevel="0" collapsed="false"/>
    <row r="21" customFormat="false" ht="27.75" hidden="false" customHeight="true" outlineLevel="0" collapsed="false">
      <c r="A21" s="19" t="s">
        <v>34</v>
      </c>
      <c r="B21" s="19"/>
      <c r="C21" s="19"/>
      <c r="D21" s="19"/>
      <c r="E21" s="19"/>
      <c r="F21" s="19"/>
      <c r="G21" s="19"/>
      <c r="H21" s="19"/>
    </row>
    <row r="22" customFormat="false" ht="24" hidden="false" customHeight="true" outlineLevel="0" collapsed="false">
      <c r="A22" s="20" t="s">
        <v>35</v>
      </c>
      <c r="B22" s="20" t="s">
        <v>36</v>
      </c>
      <c r="C22" s="20" t="s">
        <v>37</v>
      </c>
      <c r="D22" s="20" t="s">
        <v>38</v>
      </c>
      <c r="E22" s="20" t="s">
        <v>39</v>
      </c>
      <c r="F22" s="20" t="s">
        <v>40</v>
      </c>
      <c r="G22" s="20" t="s">
        <v>41</v>
      </c>
      <c r="H22" s="20" t="s">
        <v>42</v>
      </c>
    </row>
    <row r="23" customFormat="false" ht="27.75" hidden="false" customHeight="true" outlineLevel="0" collapsed="false">
      <c r="A23" s="21" t="s">
        <v>43</v>
      </c>
      <c r="B23" s="21" t="s">
        <v>44</v>
      </c>
      <c r="C23" s="22" t="n">
        <v>2200</v>
      </c>
      <c r="D23" s="22" t="n">
        <v>3500</v>
      </c>
      <c r="E23" s="21" t="s">
        <v>45</v>
      </c>
      <c r="F23" s="21" t="s">
        <v>46</v>
      </c>
      <c r="G23" s="21" t="s">
        <v>47</v>
      </c>
      <c r="H23" s="21" t="s">
        <v>48</v>
      </c>
    </row>
    <row r="24" customFormat="false" ht="27.75" hidden="false" customHeight="true" outlineLevel="0" collapsed="false">
      <c r="A24" s="21" t="s">
        <v>49</v>
      </c>
      <c r="B24" s="21" t="s">
        <v>50</v>
      </c>
      <c r="C24" s="22" t="n">
        <v>1900</v>
      </c>
      <c r="D24" s="22" t="n">
        <v>3000</v>
      </c>
      <c r="E24" s="21" t="s">
        <v>45</v>
      </c>
      <c r="F24" s="21" t="s">
        <v>51</v>
      </c>
      <c r="G24" s="21" t="s">
        <v>52</v>
      </c>
      <c r="H24" s="21" t="s">
        <v>53</v>
      </c>
    </row>
    <row r="25" customFormat="false" ht="27.75" hidden="false" customHeight="true" outlineLevel="0" collapsed="false">
      <c r="A25" s="21" t="s">
        <v>54</v>
      </c>
      <c r="B25" s="21" t="s">
        <v>55</v>
      </c>
      <c r="C25" s="22" t="n">
        <v>2000</v>
      </c>
      <c r="D25" s="22" t="n">
        <v>3200</v>
      </c>
      <c r="E25" s="21" t="s">
        <v>56</v>
      </c>
      <c r="F25" s="21" t="s">
        <v>57</v>
      </c>
      <c r="G25" s="21" t="s">
        <v>58</v>
      </c>
      <c r="H25" s="21" t="s">
        <v>59</v>
      </c>
    </row>
    <row r="26" customFormat="false" ht="27.75" hidden="false" customHeight="true" outlineLevel="0" collapsed="false">
      <c r="A26" s="21" t="s">
        <v>60</v>
      </c>
      <c r="B26" s="21" t="s">
        <v>61</v>
      </c>
      <c r="C26" s="22" t="n">
        <v>1400</v>
      </c>
      <c r="D26" s="22" t="n">
        <v>2200</v>
      </c>
      <c r="E26" s="21" t="s">
        <v>56</v>
      </c>
      <c r="F26" s="21" t="s">
        <v>62</v>
      </c>
      <c r="G26" s="21" t="s">
        <v>63</v>
      </c>
      <c r="H26" s="21" t="s">
        <v>64</v>
      </c>
    </row>
    <row r="27" customFormat="false" ht="27.75" hidden="false" customHeight="true" outlineLevel="0" collapsed="false">
      <c r="A27" s="21" t="s">
        <v>65</v>
      </c>
      <c r="B27" s="21" t="s">
        <v>66</v>
      </c>
      <c r="C27" s="22" t="n">
        <v>1200</v>
      </c>
      <c r="D27" s="22" t="n">
        <v>2000</v>
      </c>
      <c r="E27" s="21" t="s">
        <v>67</v>
      </c>
      <c r="F27" s="21" t="s">
        <v>68</v>
      </c>
      <c r="G27" s="21" t="s">
        <v>58</v>
      </c>
      <c r="H27" s="21" t="s">
        <v>69</v>
      </c>
    </row>
    <row r="28" customFormat="false" ht="27.75" hidden="false" customHeight="true" outlineLevel="0" collapsed="false">
      <c r="A28" s="23" t="s">
        <v>70</v>
      </c>
      <c r="B28" s="23"/>
      <c r="C28" s="23"/>
      <c r="D28" s="23"/>
      <c r="E28" s="23"/>
      <c r="F28" s="23"/>
      <c r="G28" s="23"/>
      <c r="H28" s="23"/>
    </row>
    <row r="29" customFormat="false" ht="27.75" hidden="false" customHeight="true" outlineLevel="0" collapsed="false">
      <c r="A29" s="23" t="s">
        <v>71</v>
      </c>
      <c r="B29" s="23"/>
      <c r="C29" s="23"/>
      <c r="D29" s="23"/>
      <c r="E29" s="23"/>
      <c r="F29" s="23"/>
      <c r="G29" s="23"/>
      <c r="H29" s="23"/>
    </row>
    <row r="30" customFormat="false" ht="27.75" hidden="false" customHeight="true" outlineLevel="0" collapsed="false">
      <c r="A30" s="23" t="s">
        <v>72</v>
      </c>
      <c r="B30" s="23"/>
      <c r="C30" s="23"/>
      <c r="D30" s="23"/>
      <c r="E30" s="23"/>
      <c r="F30" s="23"/>
      <c r="G30" s="23"/>
      <c r="H30" s="23"/>
    </row>
  </sheetData>
  <mergeCells count="4">
    <mergeCell ref="A2:H2"/>
    <mergeCell ref="A3:H3"/>
    <mergeCell ref="A5:H5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2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5" min="5" style="1" width="22"/>
  </cols>
  <sheetData>
    <row r="2" customFormat="false" ht="39.75" hidden="false" customHeight="true" outlineLevel="0" collapsed="false">
      <c r="A2" s="2" t="s">
        <v>73</v>
      </c>
      <c r="B2" s="2"/>
      <c r="C2" s="2"/>
      <c r="D2" s="2"/>
      <c r="E2" s="2"/>
    </row>
    <row r="3" customFormat="false" ht="19.5" hidden="false" customHeight="true" outlineLevel="0" collapsed="false">
      <c r="A3" s="3" t="s">
        <v>74</v>
      </c>
      <c r="B3" s="3"/>
      <c r="C3" s="3"/>
      <c r="D3" s="3"/>
      <c r="E3" s="3"/>
    </row>
    <row r="4" customFormat="false" ht="9.75" hidden="false" customHeight="true" outlineLevel="0" collapsed="false"/>
    <row r="5" customFormat="false" ht="27.75" hidden="false" customHeight="true" outlineLevel="0" collapsed="false">
      <c r="A5" s="24" t="s">
        <v>40</v>
      </c>
      <c r="B5" s="24" t="s">
        <v>75</v>
      </c>
      <c r="C5" s="25" t="s">
        <v>76</v>
      </c>
      <c r="D5" s="25" t="s">
        <v>77</v>
      </c>
      <c r="E5" s="25" t="s">
        <v>78</v>
      </c>
    </row>
    <row r="6" customFormat="false" ht="43.5" hidden="false" customHeight="true" outlineLevel="0" collapsed="false">
      <c r="A6" s="26" t="s">
        <v>79</v>
      </c>
      <c r="B6" s="27" t="n">
        <v>30</v>
      </c>
      <c r="C6" s="28" t="s">
        <v>80</v>
      </c>
      <c r="D6" s="29" t="s">
        <v>81</v>
      </c>
      <c r="E6" s="30" t="s">
        <v>82</v>
      </c>
    </row>
    <row r="7" customFormat="false" ht="43.5" hidden="false" customHeight="true" outlineLevel="0" collapsed="false">
      <c r="A7" s="31" t="s">
        <v>83</v>
      </c>
      <c r="B7" s="27" t="n">
        <v>20</v>
      </c>
      <c r="C7" s="32" t="s">
        <v>84</v>
      </c>
      <c r="D7" s="33" t="s">
        <v>85</v>
      </c>
      <c r="E7" s="34" t="s">
        <v>86</v>
      </c>
    </row>
    <row r="8" customFormat="false" ht="43.5" hidden="false" customHeight="true" outlineLevel="0" collapsed="false">
      <c r="A8" s="35" t="s">
        <v>87</v>
      </c>
      <c r="B8" s="27" t="n">
        <v>25</v>
      </c>
      <c r="C8" s="36" t="s">
        <v>88</v>
      </c>
      <c r="D8" s="37" t="s">
        <v>89</v>
      </c>
      <c r="E8" s="38" t="s">
        <v>90</v>
      </c>
    </row>
    <row r="9" customFormat="false" ht="43.5" hidden="false" customHeight="true" outlineLevel="0" collapsed="false">
      <c r="A9" s="39" t="s">
        <v>91</v>
      </c>
      <c r="B9" s="27" t="n">
        <v>10</v>
      </c>
      <c r="C9" s="40" t="s">
        <v>92</v>
      </c>
      <c r="D9" s="41" t="s">
        <v>93</v>
      </c>
      <c r="E9" s="42" t="s">
        <v>94</v>
      </c>
    </row>
    <row r="10" customFormat="false" ht="43.5" hidden="false" customHeight="true" outlineLevel="0" collapsed="false">
      <c r="A10" s="43" t="s">
        <v>95</v>
      </c>
      <c r="B10" s="27" t="n">
        <v>8</v>
      </c>
      <c r="C10" s="44" t="s">
        <v>96</v>
      </c>
      <c r="D10" s="45" t="s">
        <v>97</v>
      </c>
      <c r="E10" s="46" t="s">
        <v>98</v>
      </c>
    </row>
    <row r="11" customFormat="false" ht="43.5" hidden="false" customHeight="true" outlineLevel="0" collapsed="false">
      <c r="A11" s="47" t="s">
        <v>99</v>
      </c>
      <c r="B11" s="27" t="n">
        <v>5</v>
      </c>
      <c r="C11" s="48" t="s">
        <v>100</v>
      </c>
      <c r="D11" s="49" t="s">
        <v>101</v>
      </c>
      <c r="E11" s="50" t="s">
        <v>102</v>
      </c>
    </row>
    <row r="12" customFormat="false" ht="43.5" hidden="false" customHeight="true" outlineLevel="0" collapsed="false">
      <c r="A12" s="51" t="s">
        <v>103</v>
      </c>
      <c r="B12" s="27" t="n">
        <v>2</v>
      </c>
      <c r="C12" s="52" t="s">
        <v>104</v>
      </c>
      <c r="D12" s="23"/>
      <c r="E12" s="53"/>
    </row>
    <row r="13" customFormat="false" ht="27.75" hidden="false" customHeight="true" outlineLevel="0" collapsed="false">
      <c r="A13" s="54" t="s">
        <v>105</v>
      </c>
      <c r="B13" s="55" t="n">
        <f aca="false">SUM(B6:B12)</f>
        <v>100</v>
      </c>
      <c r="C13" s="56" t="str">
        <f aca="false">IF(B13=100,"✅ Total correct — 100%","⚠️ Ajuste les % — total actuel : "&amp;B13&amp;"%")</f>
        <v>✅ Total correct — 100%</v>
      </c>
      <c r="D13" s="56"/>
      <c r="E13" s="56"/>
    </row>
    <row r="15" customFormat="false" ht="27.75" hidden="false" customHeight="true" outlineLevel="0" collapsed="false">
      <c r="A15" s="19" t="s">
        <v>106</v>
      </c>
      <c r="B15" s="19"/>
      <c r="C15" s="19"/>
      <c r="D15" s="19"/>
      <c r="E15" s="19"/>
    </row>
    <row r="16" customFormat="false" ht="30" hidden="false" customHeight="true" outlineLevel="0" collapsed="false">
      <c r="A16" s="57" t="s">
        <v>107</v>
      </c>
      <c r="B16" s="58" t="s">
        <v>108</v>
      </c>
      <c r="C16" s="58"/>
      <c r="D16" s="58"/>
      <c r="E16" s="58"/>
    </row>
    <row r="17" customFormat="false" ht="30" hidden="false" customHeight="true" outlineLevel="0" collapsed="false">
      <c r="A17" s="59" t="s">
        <v>109</v>
      </c>
      <c r="B17" s="60" t="s">
        <v>110</v>
      </c>
      <c r="C17" s="60"/>
      <c r="D17" s="60"/>
      <c r="E17" s="60"/>
    </row>
    <row r="18" customFormat="false" ht="30" hidden="false" customHeight="true" outlineLevel="0" collapsed="false">
      <c r="A18" s="57" t="s">
        <v>111</v>
      </c>
      <c r="B18" s="58" t="s">
        <v>112</v>
      </c>
      <c r="C18" s="58"/>
      <c r="D18" s="58"/>
      <c r="E18" s="58"/>
    </row>
    <row r="19" customFormat="false" ht="30" hidden="false" customHeight="true" outlineLevel="0" collapsed="false">
      <c r="A19" s="59" t="s">
        <v>113</v>
      </c>
      <c r="B19" s="60" t="s">
        <v>114</v>
      </c>
      <c r="C19" s="60"/>
      <c r="D19" s="60"/>
      <c r="E19" s="60"/>
    </row>
    <row r="20" customFormat="false" ht="30" hidden="false" customHeight="true" outlineLevel="0" collapsed="false">
      <c r="A20" s="57" t="s">
        <v>115</v>
      </c>
      <c r="B20" s="58" t="s">
        <v>116</v>
      </c>
      <c r="C20" s="58"/>
      <c r="D20" s="58"/>
      <c r="E20" s="58"/>
    </row>
    <row r="21" customFormat="false" ht="30" hidden="false" customHeight="true" outlineLevel="0" collapsed="false">
      <c r="A21" s="59" t="s">
        <v>117</v>
      </c>
      <c r="B21" s="60" t="s">
        <v>118</v>
      </c>
      <c r="C21" s="60"/>
      <c r="D21" s="60"/>
      <c r="E21" s="60"/>
    </row>
    <row r="22" customFormat="false" ht="30" hidden="false" customHeight="true" outlineLevel="0" collapsed="false">
      <c r="A22" s="57" t="s">
        <v>119</v>
      </c>
      <c r="B22" s="58" t="s">
        <v>120</v>
      </c>
      <c r="C22" s="58"/>
      <c r="D22" s="58"/>
      <c r="E22" s="58"/>
    </row>
  </sheetData>
  <mergeCells count="11">
    <mergeCell ref="A2:E2"/>
    <mergeCell ref="A3:E3"/>
    <mergeCell ref="C13:E13"/>
    <mergeCell ref="A15:E15"/>
    <mergeCell ref="B16:E16"/>
    <mergeCell ref="B17:E17"/>
    <mergeCell ref="B18:E18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8ADD"/>
    <pageSetUpPr fitToPage="false"/>
  </sheetPr>
  <dimension ref="A2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22"/>
  </cols>
  <sheetData>
    <row r="2" customFormat="false" ht="39.75" hidden="false" customHeight="true" outlineLevel="0" collapsed="false">
      <c r="A2" s="2" t="s">
        <v>121</v>
      </c>
      <c r="B2" s="2"/>
      <c r="C2" s="2"/>
      <c r="D2" s="2"/>
    </row>
    <row r="3" customFormat="false" ht="19.5" hidden="false" customHeight="true" outlineLevel="0" collapsed="false">
      <c r="A3" s="3" t="s">
        <v>122</v>
      </c>
      <c r="B3" s="3"/>
      <c r="C3" s="3"/>
      <c r="D3" s="3"/>
    </row>
    <row r="4" customFormat="false" ht="9.75" hidden="false" customHeight="true" outlineLevel="0" collapsed="false"/>
    <row r="5" customFormat="false" ht="24" hidden="false" customHeight="true" outlineLevel="0" collapsed="false">
      <c r="A5" s="20" t="s">
        <v>123</v>
      </c>
      <c r="B5" s="20" t="s">
        <v>124</v>
      </c>
      <c r="C5" s="61" t="s">
        <v>125</v>
      </c>
      <c r="D5" s="61" t="s">
        <v>126</v>
      </c>
    </row>
    <row r="6" customFormat="false" ht="21.75" hidden="false" customHeight="true" outlineLevel="0" collapsed="false">
      <c r="A6" s="62" t="s">
        <v>127</v>
      </c>
      <c r="B6" s="62"/>
      <c r="C6" s="62"/>
      <c r="D6" s="62"/>
    </row>
    <row r="7" customFormat="false" ht="43.5" hidden="false" customHeight="true" outlineLevel="0" collapsed="false">
      <c r="A7" s="63" t="s">
        <v>128</v>
      </c>
      <c r="B7" s="26" t="s">
        <v>129</v>
      </c>
      <c r="C7" s="28" t="s">
        <v>130</v>
      </c>
      <c r="D7" s="64" t="s">
        <v>131</v>
      </c>
    </row>
    <row r="8" customFormat="false" ht="43.5" hidden="false" customHeight="true" outlineLevel="0" collapsed="false">
      <c r="A8" s="65" t="s">
        <v>132</v>
      </c>
      <c r="B8" s="35" t="s">
        <v>133</v>
      </c>
      <c r="C8" s="36" t="s">
        <v>134</v>
      </c>
      <c r="D8" s="66" t="s">
        <v>135</v>
      </c>
    </row>
    <row r="9" customFormat="false" ht="43.5" hidden="false" customHeight="true" outlineLevel="0" collapsed="false">
      <c r="A9" s="65" t="s">
        <v>136</v>
      </c>
      <c r="B9" s="35" t="s">
        <v>137</v>
      </c>
      <c r="C9" s="36" t="s">
        <v>138</v>
      </c>
      <c r="D9" s="66" t="s">
        <v>139</v>
      </c>
    </row>
    <row r="10" customFormat="false" ht="43.5" hidden="false" customHeight="true" outlineLevel="0" collapsed="false">
      <c r="A10" s="67" t="s">
        <v>140</v>
      </c>
      <c r="B10" s="31" t="s">
        <v>141</v>
      </c>
      <c r="C10" s="32" t="s">
        <v>142</v>
      </c>
      <c r="D10" s="68" t="s">
        <v>143</v>
      </c>
    </row>
    <row r="11" customFormat="false" ht="43.5" hidden="false" customHeight="true" outlineLevel="0" collapsed="false">
      <c r="A11" s="67" t="s">
        <v>144</v>
      </c>
      <c r="B11" s="31" t="s">
        <v>145</v>
      </c>
      <c r="C11" s="32" t="s">
        <v>146</v>
      </c>
      <c r="D11" s="68" t="s">
        <v>147</v>
      </c>
    </row>
    <row r="12" customFormat="false" ht="43.5" hidden="false" customHeight="true" outlineLevel="0" collapsed="false">
      <c r="A12" s="69" t="s">
        <v>148</v>
      </c>
      <c r="B12" s="39" t="s">
        <v>149</v>
      </c>
      <c r="C12" s="40" t="s">
        <v>150</v>
      </c>
      <c r="D12" s="70" t="s">
        <v>151</v>
      </c>
    </row>
    <row r="13" customFormat="false" ht="21.75" hidden="false" customHeight="true" outlineLevel="0" collapsed="false">
      <c r="A13" s="62" t="s">
        <v>152</v>
      </c>
      <c r="B13" s="62"/>
      <c r="C13" s="62"/>
      <c r="D13" s="62"/>
    </row>
    <row r="14" customFormat="false" ht="43.5" hidden="false" customHeight="true" outlineLevel="0" collapsed="false">
      <c r="A14" s="63" t="s">
        <v>153</v>
      </c>
      <c r="B14" s="26" t="s">
        <v>154</v>
      </c>
      <c r="C14" s="28" t="s">
        <v>155</v>
      </c>
      <c r="D14" s="64" t="s">
        <v>156</v>
      </c>
    </row>
    <row r="15" customFormat="false" ht="43.5" hidden="false" customHeight="true" outlineLevel="0" collapsed="false">
      <c r="A15" s="63" t="s">
        <v>157</v>
      </c>
      <c r="B15" s="26" t="s">
        <v>158</v>
      </c>
      <c r="C15" s="28" t="s">
        <v>159</v>
      </c>
      <c r="D15" s="64" t="s">
        <v>160</v>
      </c>
    </row>
    <row r="16" customFormat="false" ht="43.5" hidden="false" customHeight="true" outlineLevel="0" collapsed="false">
      <c r="A16" s="71" t="s">
        <v>161</v>
      </c>
      <c r="B16" s="43" t="s">
        <v>162</v>
      </c>
      <c r="C16" s="44" t="s">
        <v>163</v>
      </c>
      <c r="D16" s="72" t="s">
        <v>164</v>
      </c>
    </row>
    <row r="17" customFormat="false" ht="43.5" hidden="false" customHeight="true" outlineLevel="0" collapsed="false">
      <c r="A17" s="67" t="s">
        <v>165</v>
      </c>
      <c r="B17" s="31" t="s">
        <v>166</v>
      </c>
      <c r="C17" s="32" t="s">
        <v>167</v>
      </c>
      <c r="D17" s="68" t="s">
        <v>168</v>
      </c>
    </row>
    <row r="18" customFormat="false" ht="21.75" hidden="false" customHeight="true" outlineLevel="0" collapsed="false">
      <c r="A18" s="62" t="s">
        <v>169</v>
      </c>
      <c r="B18" s="62"/>
      <c r="C18" s="62"/>
      <c r="D18" s="62"/>
    </row>
    <row r="19" customFormat="false" ht="43.5" hidden="false" customHeight="true" outlineLevel="0" collapsed="false">
      <c r="A19" s="73" t="s">
        <v>170</v>
      </c>
      <c r="B19" s="74" t="s">
        <v>171</v>
      </c>
      <c r="C19" s="75" t="s">
        <v>172</v>
      </c>
      <c r="D19" s="76" t="s">
        <v>173</v>
      </c>
    </row>
    <row r="20" customFormat="false" ht="43.5" hidden="false" customHeight="true" outlineLevel="0" collapsed="false">
      <c r="A20" s="69" t="s">
        <v>174</v>
      </c>
      <c r="B20" s="39" t="s">
        <v>175</v>
      </c>
      <c r="C20" s="40" t="s">
        <v>176</v>
      </c>
      <c r="D20" s="70" t="s">
        <v>164</v>
      </c>
    </row>
    <row r="21" customFormat="false" ht="43.5" hidden="false" customHeight="true" outlineLevel="0" collapsed="false">
      <c r="A21" s="77" t="s">
        <v>177</v>
      </c>
      <c r="B21" s="47" t="s">
        <v>178</v>
      </c>
      <c r="C21" s="48" t="s">
        <v>179</v>
      </c>
      <c r="D21" s="78" t="s">
        <v>180</v>
      </c>
    </row>
    <row r="22" customFormat="false" ht="21.75" hidden="false" customHeight="true" outlineLevel="0" collapsed="false">
      <c r="A22" s="62" t="s">
        <v>181</v>
      </c>
      <c r="B22" s="62"/>
      <c r="C22" s="62"/>
      <c r="D22" s="62"/>
    </row>
    <row r="23" customFormat="false" ht="43.5" hidden="false" customHeight="true" outlineLevel="0" collapsed="false">
      <c r="A23" s="65" t="s">
        <v>182</v>
      </c>
      <c r="B23" s="35" t="s">
        <v>183</v>
      </c>
      <c r="C23" s="36" t="s">
        <v>184</v>
      </c>
      <c r="D23" s="66" t="s">
        <v>185</v>
      </c>
    </row>
    <row r="24" customFormat="false" ht="43.5" hidden="false" customHeight="true" outlineLevel="0" collapsed="false">
      <c r="A24" s="67" t="s">
        <v>182</v>
      </c>
      <c r="B24" s="31" t="s">
        <v>186</v>
      </c>
      <c r="C24" s="32" t="s">
        <v>187</v>
      </c>
      <c r="D24" s="68" t="s">
        <v>188</v>
      </c>
    </row>
  </sheetData>
  <mergeCells count="6">
    <mergeCell ref="A2:D2"/>
    <mergeCell ref="A3:D3"/>
    <mergeCell ref="A6:D6"/>
    <mergeCell ref="A13:D13"/>
    <mergeCell ref="A18:D18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2026-04-05T20:27:49Z</dcterms:created>
  <dc:creator>openpyxl</dc:creator>
  <dc:description/>
  <dc:language>en-US</dc:language>
  <cp:lastModifiedBy/>
  <dcterms:modified xsi:type="dcterms:W3CDTF">2026-04-05T20:48:21Z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